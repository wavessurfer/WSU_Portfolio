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n1448lr\OneDrive - MNSCU\Classes\2021 FALL\DSCI 415 Unsupervised Learning\"/>
    </mc:Choice>
  </mc:AlternateContent>
  <xr:revisionPtr revIDLastSave="0" documentId="8_{2535D733-95E8-46CD-9255-8905FD9ADBEB}" xr6:coauthVersionLast="47" xr6:coauthVersionMax="47" xr10:uidLastSave="{00000000-0000-0000-0000-000000000000}"/>
  <bookViews>
    <workbookView xWindow="-120" yWindow="-120" windowWidth="29040" windowHeight="15840" activeTab="1"/>
  </bookViews>
  <sheets>
    <sheet name="DTCTesting" sheetId="1" r:id="rId1"/>
    <sheet name="Sheet1" sheetId="2" r:id="rId2"/>
  </sheets>
  <calcPr calcId="0"/>
</workbook>
</file>

<file path=xl/calcChain.xml><?xml version="1.0" encoding="utf-8"?>
<calcChain xmlns="http://schemas.openxmlformats.org/spreadsheetml/2006/main">
  <c r="L24" i="2" l="1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23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E23" i="2"/>
  <c r="D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C23" i="2"/>
  <c r="B23" i="2"/>
</calcChain>
</file>

<file path=xl/sharedStrings.xml><?xml version="1.0" encoding="utf-8"?>
<sst xmlns="http://schemas.openxmlformats.org/spreadsheetml/2006/main" count="396" uniqueCount="65">
  <si>
    <t>SurveyID</t>
  </si>
  <si>
    <t>Q2_CurrentTitle</t>
  </si>
  <si>
    <t>Q3_YrsInPractice</t>
  </si>
  <si>
    <t>Q7_HowOftenInterpretPerMonth</t>
  </si>
  <si>
    <t>Q8_HeardofDTCTesting</t>
  </si>
  <si>
    <t>Q9_MadeReferralforDTCTesting</t>
  </si>
  <si>
    <t>Q12_AwareOfLocalDTCTesting</t>
  </si>
  <si>
    <t>Q13_HowComfortableAnsweringQuestions</t>
  </si>
  <si>
    <t>Q14_HowComfortableInterpreting</t>
  </si>
  <si>
    <t>Q15_HowUsefulClinically</t>
  </si>
  <si>
    <t>Q16_IsDTCTestComparableToClinicalTest</t>
  </si>
  <si>
    <t>Q17_CanDTCTestUsedToDiagnose</t>
  </si>
  <si>
    <t>Q18_HowLikelyInformPatients</t>
  </si>
  <si>
    <t>Q19_HowLikelyToReferPatient</t>
  </si>
  <si>
    <t>Q20_KnowHowToRefer</t>
  </si>
  <si>
    <t>Q21_HowImportantPatientDiscussWithProfessional</t>
  </si>
  <si>
    <t>Q22_HowConfidentHaveAppropriateResourcesToDiscuss</t>
  </si>
  <si>
    <t>Physician (MD/DO)</t>
  </si>
  <si>
    <t>20 or greater</t>
  </si>
  <si>
    <t>Yes</t>
  </si>
  <si>
    <t>No</t>
  </si>
  <si>
    <t>Not at all comfortable</t>
  </si>
  <si>
    <t>Unsure</t>
  </si>
  <si>
    <t>Somewhat unlikely</t>
  </si>
  <si>
    <t>Likely</t>
  </si>
  <si>
    <t>Important</t>
  </si>
  <si>
    <t>Not confident</t>
  </si>
  <si>
    <t>1 to 5 Years</t>
  </si>
  <si>
    <t>Somewhat comfortable</t>
  </si>
  <si>
    <t>Somewhat likely</t>
  </si>
  <si>
    <t>6 to 10 Years</t>
  </si>
  <si>
    <t>Not useful</t>
  </si>
  <si>
    <t>Unlikely</t>
  </si>
  <si>
    <t>Somewhat important</t>
  </si>
  <si>
    <t>PA</t>
  </si>
  <si>
    <t>Useful</t>
  </si>
  <si>
    <t>1 to 3 times</t>
  </si>
  <si>
    <t>Somewhat useful</t>
  </si>
  <si>
    <t>Nurse Practionier</t>
  </si>
  <si>
    <t>Less than 1 Year</t>
  </si>
  <si>
    <t>Somewhat confident</t>
  </si>
  <si>
    <t>Not important</t>
  </si>
  <si>
    <t>Comfortable</t>
  </si>
  <si>
    <t>11 to 20 Years</t>
  </si>
  <si>
    <t>Confident</t>
  </si>
  <si>
    <t>Q8_HeardofDTCTesting - No</t>
  </si>
  <si>
    <t>Q8_HeardofDTCTesting - Yes</t>
  </si>
  <si>
    <t>Q9_MadeReferralforDTCTesting - Yes</t>
  </si>
  <si>
    <t>Q9_MadeReferralforDTCTesting - No</t>
  </si>
  <si>
    <t>Q12_AwareOfLocalDTCTesting - Yes</t>
  </si>
  <si>
    <t>Q12_AwareOfLocalDTCTesting - No</t>
  </si>
  <si>
    <t>Q20_KnowHowToRefer - Yes</t>
  </si>
  <si>
    <t>Q20_KnowHowToRefer - No</t>
  </si>
  <si>
    <t>1 (TRUE)</t>
  </si>
  <si>
    <t>0  (FALSE)</t>
  </si>
  <si>
    <t>1  (TRUE)</t>
  </si>
  <si>
    <t>0 (FALSE)</t>
  </si>
  <si>
    <t>Observation 1</t>
  </si>
  <si>
    <t>Observation 5</t>
  </si>
  <si>
    <t>Observation 16</t>
  </si>
  <si>
    <t>Observation 2</t>
  </si>
  <si>
    <t xml:space="preserve">a = </t>
  </si>
  <si>
    <t>Q2_MD</t>
  </si>
  <si>
    <t>Q2_PA</t>
  </si>
  <si>
    <t>Q2_NP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</si>
</sst>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Palatino Linotype"/>
      <family val="1"/>
    </font>
    <font>
      <sz val="12"/>
      <color rgb="FF000000"/>
      <name val="Palatino Linotype"/>
      <family val="1"/>
    </font>
    <font>
      <sz val="12"/>
      <color theme="1"/>
      <name val="Palatino Linotype"/>
      <family val="1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EECE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10" xfId="0" applyFont="1" applyBorder="1" applyAlignment="1">
      <alignment horizontal="center" vertical="center" wrapText="1"/>
    </xf>
    <xf numFmtId="0" fontId="19" fillId="33" borderId="11" xfId="0" applyFont="1" applyFill="1" applyBorder="1" applyAlignment="1">
      <alignment horizontal="center" vertical="center" wrapText="1"/>
    </xf>
    <xf numFmtId="0" fontId="19" fillId="33" borderId="12" xfId="0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vertical="top" wrapText="1"/>
    </xf>
    <xf numFmtId="0" fontId="18" fillId="0" borderId="14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9"/>
  <sheetViews>
    <sheetView workbookViewId="0">
      <selection activeCell="O1" activeCellId="3" sqref="A1:A1048576 B1:B1048576 E1:G1048576 O1:O1048576"/>
    </sheetView>
  </sheetViews>
  <sheetFormatPr defaultRowHeight="15" x14ac:dyDescent="0.25"/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25">
      <c r="A2">
        <v>1</v>
      </c>
      <c r="B2" t="s">
        <v>17</v>
      </c>
      <c r="C2" t="s">
        <v>18</v>
      </c>
      <c r="D2">
        <v>0</v>
      </c>
      <c r="E2" t="s">
        <v>19</v>
      </c>
      <c r="F2" t="s">
        <v>20</v>
      </c>
      <c r="G2" t="s">
        <v>20</v>
      </c>
      <c r="H2" t="s">
        <v>21</v>
      </c>
      <c r="I2" t="s">
        <v>21</v>
      </c>
      <c r="J2" t="s">
        <v>22</v>
      </c>
      <c r="K2" t="s">
        <v>22</v>
      </c>
      <c r="L2" t="b">
        <v>0</v>
      </c>
      <c r="M2" t="s">
        <v>23</v>
      </c>
      <c r="N2" t="s">
        <v>24</v>
      </c>
      <c r="O2" t="s">
        <v>20</v>
      </c>
      <c r="P2" t="s">
        <v>25</v>
      </c>
      <c r="Q2" t="s">
        <v>26</v>
      </c>
    </row>
    <row r="3" spans="1:17" x14ac:dyDescent="0.25">
      <c r="A3">
        <v>2</v>
      </c>
      <c r="B3" t="s">
        <v>17</v>
      </c>
      <c r="C3" t="s">
        <v>27</v>
      </c>
      <c r="D3">
        <v>0</v>
      </c>
      <c r="E3" t="s">
        <v>19</v>
      </c>
      <c r="F3" t="s">
        <v>20</v>
      </c>
      <c r="G3" t="s">
        <v>20</v>
      </c>
      <c r="H3" t="s">
        <v>28</v>
      </c>
      <c r="I3" t="s">
        <v>28</v>
      </c>
      <c r="J3" t="s">
        <v>22</v>
      </c>
      <c r="K3" t="s">
        <v>22</v>
      </c>
      <c r="L3" t="s">
        <v>22</v>
      </c>
      <c r="M3" t="s">
        <v>22</v>
      </c>
      <c r="N3" t="s">
        <v>29</v>
      </c>
      <c r="O3" t="s">
        <v>20</v>
      </c>
      <c r="P3" t="s">
        <v>22</v>
      </c>
      <c r="Q3" t="s">
        <v>26</v>
      </c>
    </row>
    <row r="4" spans="1:17" x14ac:dyDescent="0.25">
      <c r="A4">
        <v>3</v>
      </c>
      <c r="B4" t="s">
        <v>17</v>
      </c>
      <c r="C4" t="s">
        <v>30</v>
      </c>
      <c r="D4">
        <v>0</v>
      </c>
      <c r="E4" t="s">
        <v>19</v>
      </c>
      <c r="F4" t="s">
        <v>20</v>
      </c>
      <c r="G4" t="s">
        <v>20</v>
      </c>
      <c r="H4" t="s">
        <v>21</v>
      </c>
      <c r="I4" t="s">
        <v>21</v>
      </c>
      <c r="J4" t="s">
        <v>31</v>
      </c>
      <c r="K4" t="s">
        <v>22</v>
      </c>
      <c r="L4" t="s">
        <v>22</v>
      </c>
      <c r="M4" t="s">
        <v>24</v>
      </c>
      <c r="N4" t="s">
        <v>24</v>
      </c>
      <c r="O4" t="s">
        <v>20</v>
      </c>
      <c r="P4" t="s">
        <v>22</v>
      </c>
      <c r="Q4" t="s">
        <v>26</v>
      </c>
    </row>
    <row r="5" spans="1:17" x14ac:dyDescent="0.25">
      <c r="A5">
        <v>4</v>
      </c>
      <c r="B5" t="s">
        <v>17</v>
      </c>
      <c r="C5" t="s">
        <v>30</v>
      </c>
      <c r="D5">
        <v>0</v>
      </c>
      <c r="E5" t="s">
        <v>19</v>
      </c>
      <c r="F5" t="s">
        <v>20</v>
      </c>
      <c r="G5" t="s">
        <v>20</v>
      </c>
      <c r="H5" t="s">
        <v>21</v>
      </c>
      <c r="I5" t="s">
        <v>21</v>
      </c>
      <c r="J5" t="s">
        <v>31</v>
      </c>
      <c r="K5" t="b">
        <v>0</v>
      </c>
      <c r="L5" t="b">
        <v>0</v>
      </c>
      <c r="M5" t="s">
        <v>24</v>
      </c>
      <c r="N5" t="s">
        <v>24</v>
      </c>
      <c r="O5" t="s">
        <v>20</v>
      </c>
      <c r="P5" t="s">
        <v>22</v>
      </c>
      <c r="Q5" t="s">
        <v>26</v>
      </c>
    </row>
    <row r="6" spans="1:17" x14ac:dyDescent="0.25">
      <c r="A6">
        <v>5</v>
      </c>
      <c r="B6" t="s">
        <v>17</v>
      </c>
      <c r="C6" t="s">
        <v>18</v>
      </c>
      <c r="D6">
        <v>0</v>
      </c>
      <c r="E6" t="s">
        <v>19</v>
      </c>
      <c r="F6" t="s">
        <v>20</v>
      </c>
      <c r="G6" t="s">
        <v>19</v>
      </c>
      <c r="H6" t="s">
        <v>21</v>
      </c>
      <c r="I6" t="s">
        <v>21</v>
      </c>
      <c r="J6" t="s">
        <v>31</v>
      </c>
      <c r="K6" t="b">
        <v>0</v>
      </c>
      <c r="L6" t="s">
        <v>22</v>
      </c>
      <c r="M6" t="s">
        <v>32</v>
      </c>
      <c r="N6" t="s">
        <v>24</v>
      </c>
      <c r="O6" t="s">
        <v>20</v>
      </c>
      <c r="P6" t="s">
        <v>33</v>
      </c>
      <c r="Q6" t="s">
        <v>26</v>
      </c>
    </row>
    <row r="7" spans="1:17" x14ac:dyDescent="0.25">
      <c r="A7">
        <v>6</v>
      </c>
      <c r="B7" t="s">
        <v>34</v>
      </c>
      <c r="C7" t="s">
        <v>30</v>
      </c>
      <c r="D7">
        <v>0</v>
      </c>
      <c r="E7" t="s">
        <v>19</v>
      </c>
      <c r="F7" t="s">
        <v>19</v>
      </c>
      <c r="G7" t="s">
        <v>20</v>
      </c>
      <c r="H7" t="s">
        <v>21</v>
      </c>
      <c r="I7" t="s">
        <v>21</v>
      </c>
      <c r="J7" t="s">
        <v>35</v>
      </c>
      <c r="K7" t="s">
        <v>22</v>
      </c>
      <c r="L7" t="s">
        <v>22</v>
      </c>
      <c r="M7" t="s">
        <v>22</v>
      </c>
      <c r="N7" t="s">
        <v>24</v>
      </c>
      <c r="O7" t="s">
        <v>20</v>
      </c>
      <c r="P7" t="s">
        <v>25</v>
      </c>
      <c r="Q7" t="s">
        <v>26</v>
      </c>
    </row>
    <row r="8" spans="1:17" x14ac:dyDescent="0.25">
      <c r="A8">
        <v>7</v>
      </c>
      <c r="B8" t="s">
        <v>34</v>
      </c>
      <c r="C8" t="s">
        <v>30</v>
      </c>
      <c r="D8" t="s">
        <v>36</v>
      </c>
      <c r="E8" t="s">
        <v>19</v>
      </c>
      <c r="F8" t="s">
        <v>20</v>
      </c>
      <c r="G8" t="s">
        <v>20</v>
      </c>
      <c r="H8" t="s">
        <v>28</v>
      </c>
      <c r="I8" t="s">
        <v>21</v>
      </c>
      <c r="J8" t="s">
        <v>37</v>
      </c>
      <c r="L8" t="b">
        <v>1</v>
      </c>
      <c r="M8" t="s">
        <v>23</v>
      </c>
      <c r="N8" t="s">
        <v>24</v>
      </c>
      <c r="O8" t="s">
        <v>20</v>
      </c>
      <c r="P8" t="s">
        <v>33</v>
      </c>
      <c r="Q8" t="s">
        <v>26</v>
      </c>
    </row>
    <row r="9" spans="1:17" x14ac:dyDescent="0.25">
      <c r="A9">
        <v>8</v>
      </c>
      <c r="B9" t="s">
        <v>38</v>
      </c>
      <c r="C9" t="s">
        <v>39</v>
      </c>
      <c r="D9">
        <v>0</v>
      </c>
      <c r="E9" t="s">
        <v>19</v>
      </c>
      <c r="F9" t="s">
        <v>20</v>
      </c>
      <c r="G9" t="s">
        <v>19</v>
      </c>
      <c r="H9" t="s">
        <v>28</v>
      </c>
      <c r="I9" t="s">
        <v>21</v>
      </c>
      <c r="J9" t="s">
        <v>37</v>
      </c>
      <c r="K9" t="b">
        <v>0</v>
      </c>
      <c r="L9" t="b">
        <v>0</v>
      </c>
      <c r="M9" t="s">
        <v>24</v>
      </c>
      <c r="N9" t="s">
        <v>24</v>
      </c>
      <c r="O9" t="s">
        <v>20</v>
      </c>
      <c r="P9" t="s">
        <v>25</v>
      </c>
      <c r="Q9" t="s">
        <v>40</v>
      </c>
    </row>
    <row r="10" spans="1:17" x14ac:dyDescent="0.25">
      <c r="A10">
        <v>9</v>
      </c>
      <c r="B10" t="s">
        <v>17</v>
      </c>
      <c r="C10" t="s">
        <v>30</v>
      </c>
      <c r="D10">
        <v>0</v>
      </c>
      <c r="E10" t="s">
        <v>19</v>
      </c>
      <c r="F10" t="s">
        <v>20</v>
      </c>
      <c r="G10" t="s">
        <v>20</v>
      </c>
      <c r="H10" t="s">
        <v>28</v>
      </c>
      <c r="I10" t="s">
        <v>28</v>
      </c>
      <c r="J10" t="s">
        <v>31</v>
      </c>
      <c r="K10" t="s">
        <v>22</v>
      </c>
      <c r="L10" t="s">
        <v>22</v>
      </c>
      <c r="M10" t="s">
        <v>32</v>
      </c>
      <c r="N10" t="s">
        <v>32</v>
      </c>
      <c r="O10" t="s">
        <v>20</v>
      </c>
      <c r="P10" t="s">
        <v>22</v>
      </c>
      <c r="Q10" t="s">
        <v>26</v>
      </c>
    </row>
    <row r="11" spans="1:17" x14ac:dyDescent="0.25">
      <c r="A11">
        <v>10</v>
      </c>
      <c r="B11" t="s">
        <v>17</v>
      </c>
      <c r="C11" t="s">
        <v>18</v>
      </c>
      <c r="D11" t="s">
        <v>36</v>
      </c>
      <c r="E11" t="s">
        <v>20</v>
      </c>
      <c r="F11" t="s">
        <v>20</v>
      </c>
      <c r="G11" t="s">
        <v>20</v>
      </c>
      <c r="H11" t="s">
        <v>21</v>
      </c>
      <c r="I11" t="s">
        <v>21</v>
      </c>
      <c r="K11" t="s">
        <v>22</v>
      </c>
      <c r="L11" t="s">
        <v>22</v>
      </c>
      <c r="M11" t="s">
        <v>32</v>
      </c>
      <c r="N11" t="s">
        <v>32</v>
      </c>
      <c r="O11" t="s">
        <v>20</v>
      </c>
      <c r="P11" t="s">
        <v>41</v>
      </c>
      <c r="Q11" t="s">
        <v>26</v>
      </c>
    </row>
    <row r="12" spans="1:17" x14ac:dyDescent="0.25">
      <c r="A12">
        <v>11</v>
      </c>
      <c r="B12" t="s">
        <v>17</v>
      </c>
      <c r="C12" t="s">
        <v>18</v>
      </c>
      <c r="D12" t="s">
        <v>36</v>
      </c>
      <c r="E12" t="s">
        <v>19</v>
      </c>
      <c r="F12" t="s">
        <v>20</v>
      </c>
      <c r="G12" t="s">
        <v>20</v>
      </c>
      <c r="H12" t="s">
        <v>28</v>
      </c>
      <c r="I12" t="s">
        <v>42</v>
      </c>
      <c r="J12" t="s">
        <v>37</v>
      </c>
      <c r="K12" t="b">
        <v>0</v>
      </c>
      <c r="L12" t="b">
        <v>0</v>
      </c>
      <c r="M12" t="s">
        <v>32</v>
      </c>
      <c r="N12" t="s">
        <v>32</v>
      </c>
      <c r="O12" t="s">
        <v>20</v>
      </c>
      <c r="P12" t="s">
        <v>22</v>
      </c>
      <c r="Q12" t="s">
        <v>26</v>
      </c>
    </row>
    <row r="13" spans="1:17" x14ac:dyDescent="0.25">
      <c r="A13">
        <v>12</v>
      </c>
      <c r="B13" t="s">
        <v>38</v>
      </c>
      <c r="C13" t="s">
        <v>43</v>
      </c>
      <c r="D13">
        <v>0</v>
      </c>
      <c r="E13" t="s">
        <v>19</v>
      </c>
      <c r="F13" t="s">
        <v>20</v>
      </c>
      <c r="G13" t="s">
        <v>20</v>
      </c>
      <c r="H13" t="s">
        <v>21</v>
      </c>
      <c r="I13" t="s">
        <v>21</v>
      </c>
      <c r="J13" t="s">
        <v>31</v>
      </c>
      <c r="K13" t="b">
        <v>0</v>
      </c>
      <c r="L13" t="b">
        <v>0</v>
      </c>
      <c r="M13" t="s">
        <v>32</v>
      </c>
      <c r="N13" t="s">
        <v>24</v>
      </c>
      <c r="O13" t="s">
        <v>19</v>
      </c>
      <c r="P13" t="s">
        <v>25</v>
      </c>
      <c r="Q13" t="s">
        <v>26</v>
      </c>
    </row>
    <row r="14" spans="1:17" x14ac:dyDescent="0.25">
      <c r="A14">
        <v>13</v>
      </c>
      <c r="B14" t="s">
        <v>17</v>
      </c>
      <c r="C14" t="s">
        <v>43</v>
      </c>
      <c r="D14">
        <v>0</v>
      </c>
      <c r="E14" t="s">
        <v>19</v>
      </c>
      <c r="F14" t="s">
        <v>19</v>
      </c>
      <c r="G14" t="s">
        <v>20</v>
      </c>
      <c r="H14" t="s">
        <v>28</v>
      </c>
      <c r="I14" t="s">
        <v>28</v>
      </c>
      <c r="J14" t="s">
        <v>31</v>
      </c>
      <c r="K14" t="b">
        <v>0</v>
      </c>
      <c r="L14" t="b">
        <v>0</v>
      </c>
      <c r="M14" t="s">
        <v>32</v>
      </c>
      <c r="N14" t="s">
        <v>29</v>
      </c>
      <c r="O14" t="s">
        <v>20</v>
      </c>
      <c r="P14" t="s">
        <v>22</v>
      </c>
      <c r="Q14" t="s">
        <v>26</v>
      </c>
    </row>
    <row r="15" spans="1:17" x14ac:dyDescent="0.25">
      <c r="A15">
        <v>14</v>
      </c>
      <c r="B15" t="s">
        <v>17</v>
      </c>
      <c r="C15" t="s">
        <v>43</v>
      </c>
      <c r="D15">
        <v>0</v>
      </c>
      <c r="E15" t="s">
        <v>19</v>
      </c>
      <c r="F15" t="s">
        <v>20</v>
      </c>
      <c r="G15" t="s">
        <v>19</v>
      </c>
      <c r="H15" t="s">
        <v>21</v>
      </c>
      <c r="I15" t="s">
        <v>21</v>
      </c>
      <c r="J15" t="s">
        <v>22</v>
      </c>
      <c r="K15" t="b">
        <v>1</v>
      </c>
      <c r="L15" t="b">
        <v>0</v>
      </c>
      <c r="M15" t="s">
        <v>23</v>
      </c>
      <c r="N15" t="s">
        <v>29</v>
      </c>
      <c r="O15" t="s">
        <v>20</v>
      </c>
      <c r="P15" t="s">
        <v>33</v>
      </c>
      <c r="Q15" t="s">
        <v>26</v>
      </c>
    </row>
    <row r="16" spans="1:17" x14ac:dyDescent="0.25">
      <c r="A16">
        <v>15</v>
      </c>
      <c r="B16" t="s">
        <v>17</v>
      </c>
      <c r="C16" t="s">
        <v>18</v>
      </c>
      <c r="D16">
        <v>0</v>
      </c>
      <c r="E16" t="s">
        <v>19</v>
      </c>
      <c r="F16" t="s">
        <v>20</v>
      </c>
      <c r="G16" t="s">
        <v>20</v>
      </c>
      <c r="H16" t="s">
        <v>21</v>
      </c>
      <c r="I16" t="s">
        <v>21</v>
      </c>
      <c r="J16" t="s">
        <v>37</v>
      </c>
      <c r="K16" t="b">
        <v>0</v>
      </c>
      <c r="L16" t="b">
        <v>1</v>
      </c>
      <c r="M16" t="s">
        <v>24</v>
      </c>
      <c r="N16" t="s">
        <v>24</v>
      </c>
      <c r="O16" t="s">
        <v>20</v>
      </c>
      <c r="P16" t="s">
        <v>33</v>
      </c>
      <c r="Q16" t="s">
        <v>40</v>
      </c>
    </row>
    <row r="17" spans="1:17" x14ac:dyDescent="0.25">
      <c r="A17">
        <v>16</v>
      </c>
      <c r="B17" t="s">
        <v>17</v>
      </c>
      <c r="C17" t="s">
        <v>27</v>
      </c>
      <c r="D17">
        <v>0</v>
      </c>
      <c r="E17" t="s">
        <v>19</v>
      </c>
      <c r="F17" t="s">
        <v>19</v>
      </c>
      <c r="G17" t="s">
        <v>19</v>
      </c>
      <c r="H17" t="s">
        <v>21</v>
      </c>
      <c r="I17" t="s">
        <v>21</v>
      </c>
      <c r="J17" t="s">
        <v>31</v>
      </c>
      <c r="K17" t="b">
        <v>0</v>
      </c>
      <c r="L17" t="s">
        <v>22</v>
      </c>
      <c r="M17" t="s">
        <v>23</v>
      </c>
      <c r="N17" t="s">
        <v>24</v>
      </c>
      <c r="O17" t="s">
        <v>19</v>
      </c>
      <c r="P17" t="s">
        <v>33</v>
      </c>
      <c r="Q17" t="s">
        <v>26</v>
      </c>
    </row>
    <row r="18" spans="1:17" x14ac:dyDescent="0.25">
      <c r="A18">
        <v>17</v>
      </c>
      <c r="B18" t="s">
        <v>34</v>
      </c>
      <c r="C18" t="s">
        <v>30</v>
      </c>
      <c r="D18">
        <v>0</v>
      </c>
      <c r="E18" t="s">
        <v>19</v>
      </c>
      <c r="F18" t="s">
        <v>20</v>
      </c>
      <c r="G18" t="s">
        <v>20</v>
      </c>
      <c r="H18" t="s">
        <v>42</v>
      </c>
      <c r="I18" t="s">
        <v>42</v>
      </c>
      <c r="J18" t="s">
        <v>22</v>
      </c>
      <c r="K18" t="s">
        <v>22</v>
      </c>
      <c r="L18" t="b">
        <v>0</v>
      </c>
      <c r="M18" t="s">
        <v>22</v>
      </c>
      <c r="N18" t="s">
        <v>24</v>
      </c>
      <c r="O18" t="s">
        <v>20</v>
      </c>
      <c r="P18" t="s">
        <v>33</v>
      </c>
      <c r="Q18" t="s">
        <v>44</v>
      </c>
    </row>
    <row r="19" spans="1:17" x14ac:dyDescent="0.25">
      <c r="A19">
        <v>18</v>
      </c>
      <c r="B19" t="s">
        <v>17</v>
      </c>
      <c r="C19" t="s">
        <v>27</v>
      </c>
      <c r="D19">
        <v>0</v>
      </c>
      <c r="E19" t="s">
        <v>19</v>
      </c>
      <c r="F19" t="s">
        <v>20</v>
      </c>
      <c r="G19" t="s">
        <v>20</v>
      </c>
      <c r="H19" t="s">
        <v>21</v>
      </c>
      <c r="I19" t="s">
        <v>21</v>
      </c>
      <c r="J19" t="s">
        <v>22</v>
      </c>
      <c r="K19" t="s">
        <v>22</v>
      </c>
      <c r="L19" t="s">
        <v>22</v>
      </c>
      <c r="M19" t="s">
        <v>23</v>
      </c>
      <c r="N19" t="s">
        <v>29</v>
      </c>
      <c r="O19" t="s">
        <v>20</v>
      </c>
      <c r="P19" t="s">
        <v>25</v>
      </c>
      <c r="Q19" t="s">
        <v>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0"/>
  <sheetViews>
    <sheetView tabSelected="1" topLeftCell="B1" workbookViewId="0">
      <selection activeCell="L23" sqref="L23:L40"/>
    </sheetView>
  </sheetViews>
  <sheetFormatPr defaultRowHeight="15" x14ac:dyDescent="0.25"/>
  <cols>
    <col min="1" max="1" width="8.85546875" bestFit="1" customWidth="1"/>
    <col min="2" max="2" width="26.5703125" bestFit="1" customWidth="1"/>
    <col min="3" max="3" width="26.140625" bestFit="1" customWidth="1"/>
    <col min="4" max="4" width="34.42578125" bestFit="1" customWidth="1"/>
    <col min="5" max="5" width="34" bestFit="1" customWidth="1"/>
    <col min="6" max="6" width="32.85546875" bestFit="1" customWidth="1"/>
    <col min="7" max="7" width="32.42578125" bestFit="1" customWidth="1"/>
    <col min="8" max="8" width="26.5703125" bestFit="1" customWidth="1"/>
    <col min="9" max="9" width="26.140625" bestFit="1" customWidth="1"/>
  </cols>
  <sheetData>
    <row r="1" spans="1:9" ht="18.75" thickBot="1" x14ac:dyDescent="0.3">
      <c r="A1" t="s">
        <v>0</v>
      </c>
      <c r="B1" t="s">
        <v>1</v>
      </c>
      <c r="C1" t="s">
        <v>4</v>
      </c>
      <c r="D1" t="s">
        <v>5</v>
      </c>
      <c r="E1" t="s">
        <v>6</v>
      </c>
      <c r="F1" t="s">
        <v>14</v>
      </c>
      <c r="H1" s="5" t="s">
        <v>60</v>
      </c>
      <c r="I1" s="5"/>
    </row>
    <row r="2" spans="1:9" ht="18.75" thickBot="1" x14ac:dyDescent="0.3">
      <c r="A2">
        <v>1</v>
      </c>
      <c r="B2" t="s">
        <v>17</v>
      </c>
      <c r="C2" t="s">
        <v>19</v>
      </c>
      <c r="D2" t="s">
        <v>20</v>
      </c>
      <c r="E2" t="s">
        <v>20</v>
      </c>
      <c r="F2" t="s">
        <v>20</v>
      </c>
      <c r="G2" s="1" t="s">
        <v>57</v>
      </c>
      <c r="H2" s="2" t="s">
        <v>53</v>
      </c>
      <c r="I2" s="2" t="s">
        <v>54</v>
      </c>
    </row>
    <row r="3" spans="1:9" ht="18.75" thickBot="1" x14ac:dyDescent="0.3">
      <c r="A3">
        <v>2</v>
      </c>
      <c r="B3" t="s">
        <v>17</v>
      </c>
      <c r="C3" t="s">
        <v>19</v>
      </c>
      <c r="D3" t="s">
        <v>20</v>
      </c>
      <c r="E3" t="s">
        <v>20</v>
      </c>
      <c r="F3" t="s">
        <v>20</v>
      </c>
      <c r="G3" s="3" t="s">
        <v>55</v>
      </c>
      <c r="H3" s="4" t="s">
        <v>61</v>
      </c>
      <c r="I3" s="4"/>
    </row>
    <row r="4" spans="1:9" ht="18.75" thickBot="1" x14ac:dyDescent="0.3">
      <c r="A4">
        <v>3</v>
      </c>
      <c r="B4" t="s">
        <v>17</v>
      </c>
      <c r="C4" t="s">
        <v>19</v>
      </c>
      <c r="D4" t="s">
        <v>20</v>
      </c>
      <c r="E4" t="s">
        <v>20</v>
      </c>
      <c r="F4" t="s">
        <v>20</v>
      </c>
      <c r="G4" s="3" t="s">
        <v>56</v>
      </c>
      <c r="H4" s="4"/>
      <c r="I4" s="4"/>
    </row>
    <row r="5" spans="1:9" x14ac:dyDescent="0.25">
      <c r="A5">
        <v>4</v>
      </c>
      <c r="B5" t="s">
        <v>17</v>
      </c>
      <c r="C5" t="s">
        <v>19</v>
      </c>
      <c r="D5" t="s">
        <v>20</v>
      </c>
      <c r="E5" t="s">
        <v>20</v>
      </c>
      <c r="F5" t="s">
        <v>20</v>
      </c>
    </row>
    <row r="6" spans="1:9" x14ac:dyDescent="0.25">
      <c r="A6">
        <v>5</v>
      </c>
      <c r="B6" t="s">
        <v>17</v>
      </c>
      <c r="C6" t="s">
        <v>19</v>
      </c>
      <c r="D6" t="s">
        <v>20</v>
      </c>
      <c r="E6" t="s">
        <v>19</v>
      </c>
      <c r="F6" t="s">
        <v>20</v>
      </c>
    </row>
    <row r="7" spans="1:9" ht="18.75" thickBot="1" x14ac:dyDescent="0.3">
      <c r="A7">
        <v>6</v>
      </c>
      <c r="B7" t="s">
        <v>34</v>
      </c>
      <c r="C7" t="s">
        <v>19</v>
      </c>
      <c r="D7" t="s">
        <v>19</v>
      </c>
      <c r="E7" t="s">
        <v>20</v>
      </c>
      <c r="F7" t="s">
        <v>20</v>
      </c>
      <c r="H7" s="5" t="s">
        <v>58</v>
      </c>
      <c r="I7" s="5"/>
    </row>
    <row r="8" spans="1:9" ht="18.75" thickBot="1" x14ac:dyDescent="0.3">
      <c r="A8">
        <v>7</v>
      </c>
      <c r="B8" t="s">
        <v>34</v>
      </c>
      <c r="C8" t="s">
        <v>19</v>
      </c>
      <c r="D8" t="s">
        <v>20</v>
      </c>
      <c r="E8" t="s">
        <v>20</v>
      </c>
      <c r="F8" t="s">
        <v>20</v>
      </c>
      <c r="G8" s="1" t="s">
        <v>57</v>
      </c>
      <c r="H8" s="2" t="s">
        <v>53</v>
      </c>
      <c r="I8" s="2" t="s">
        <v>54</v>
      </c>
    </row>
    <row r="9" spans="1:9" ht="18.75" thickBot="1" x14ac:dyDescent="0.3">
      <c r="A9">
        <v>8</v>
      </c>
      <c r="B9" t="s">
        <v>38</v>
      </c>
      <c r="C9" t="s">
        <v>19</v>
      </c>
      <c r="D9" t="s">
        <v>20</v>
      </c>
      <c r="E9" t="s">
        <v>19</v>
      </c>
      <c r="F9" t="s">
        <v>20</v>
      </c>
      <c r="G9" s="3" t="s">
        <v>55</v>
      </c>
      <c r="H9" s="4"/>
      <c r="I9" s="4"/>
    </row>
    <row r="10" spans="1:9" ht="18.75" thickBot="1" x14ac:dyDescent="0.3">
      <c r="A10">
        <v>9</v>
      </c>
      <c r="B10" t="s">
        <v>17</v>
      </c>
      <c r="C10" t="s">
        <v>19</v>
      </c>
      <c r="D10" t="s">
        <v>20</v>
      </c>
      <c r="E10" t="s">
        <v>20</v>
      </c>
      <c r="F10" t="s">
        <v>20</v>
      </c>
      <c r="G10" s="3" t="s">
        <v>56</v>
      </c>
      <c r="H10" s="4"/>
      <c r="I10" s="4"/>
    </row>
    <row r="11" spans="1:9" x14ac:dyDescent="0.25">
      <c r="A11">
        <v>10</v>
      </c>
      <c r="B11" t="s">
        <v>17</v>
      </c>
      <c r="C11" t="s">
        <v>20</v>
      </c>
      <c r="D11" t="s">
        <v>20</v>
      </c>
      <c r="E11" t="s">
        <v>20</v>
      </c>
      <c r="F11" t="s">
        <v>20</v>
      </c>
    </row>
    <row r="12" spans="1:9" x14ac:dyDescent="0.25">
      <c r="A12">
        <v>11</v>
      </c>
      <c r="B12" t="s">
        <v>17</v>
      </c>
      <c r="C12" t="s">
        <v>19</v>
      </c>
      <c r="D12" t="s">
        <v>20</v>
      </c>
      <c r="E12" t="s">
        <v>20</v>
      </c>
      <c r="F12" t="s">
        <v>20</v>
      </c>
    </row>
    <row r="13" spans="1:9" ht="18.75" thickBot="1" x14ac:dyDescent="0.3">
      <c r="A13">
        <v>12</v>
      </c>
      <c r="B13" t="s">
        <v>38</v>
      </c>
      <c r="C13" t="s">
        <v>19</v>
      </c>
      <c r="D13" t="s">
        <v>20</v>
      </c>
      <c r="E13" t="s">
        <v>20</v>
      </c>
      <c r="F13" t="s">
        <v>19</v>
      </c>
      <c r="H13" s="5" t="s">
        <v>59</v>
      </c>
      <c r="I13" s="5"/>
    </row>
    <row r="14" spans="1:9" ht="18.75" thickBot="1" x14ac:dyDescent="0.3">
      <c r="A14">
        <v>13</v>
      </c>
      <c r="B14" t="s">
        <v>17</v>
      </c>
      <c r="C14" t="s">
        <v>19</v>
      </c>
      <c r="D14" t="s">
        <v>19</v>
      </c>
      <c r="E14" t="s">
        <v>20</v>
      </c>
      <c r="F14" t="s">
        <v>20</v>
      </c>
      <c r="G14" s="1" t="s">
        <v>58</v>
      </c>
      <c r="H14" s="2" t="s">
        <v>53</v>
      </c>
      <c r="I14" s="2" t="s">
        <v>54</v>
      </c>
    </row>
    <row r="15" spans="1:9" ht="18.75" thickBot="1" x14ac:dyDescent="0.3">
      <c r="A15">
        <v>14</v>
      </c>
      <c r="B15" t="s">
        <v>17</v>
      </c>
      <c r="C15" t="s">
        <v>19</v>
      </c>
      <c r="D15" t="s">
        <v>20</v>
      </c>
      <c r="E15" t="s">
        <v>19</v>
      </c>
      <c r="F15" t="s">
        <v>20</v>
      </c>
      <c r="G15" s="3" t="s">
        <v>55</v>
      </c>
      <c r="H15" s="4"/>
      <c r="I15" s="4"/>
    </row>
    <row r="16" spans="1:9" ht="18.75" thickBot="1" x14ac:dyDescent="0.3">
      <c r="A16">
        <v>15</v>
      </c>
      <c r="B16" t="s">
        <v>17</v>
      </c>
      <c r="C16" t="s">
        <v>19</v>
      </c>
      <c r="D16" t="s">
        <v>20</v>
      </c>
      <c r="E16" t="s">
        <v>20</v>
      </c>
      <c r="F16" t="s">
        <v>20</v>
      </c>
      <c r="G16" s="3" t="s">
        <v>56</v>
      </c>
      <c r="H16" s="4"/>
      <c r="I16" s="4"/>
    </row>
    <row r="17" spans="1:12" x14ac:dyDescent="0.25">
      <c r="A17">
        <v>16</v>
      </c>
      <c r="B17" t="s">
        <v>17</v>
      </c>
      <c r="C17" t="s">
        <v>19</v>
      </c>
      <c r="D17" t="s">
        <v>19</v>
      </c>
      <c r="E17" t="s">
        <v>19</v>
      </c>
      <c r="F17" t="s">
        <v>19</v>
      </c>
    </row>
    <row r="18" spans="1:12" x14ac:dyDescent="0.25">
      <c r="A18">
        <v>17</v>
      </c>
      <c r="B18" t="s">
        <v>34</v>
      </c>
      <c r="C18" t="s">
        <v>19</v>
      </c>
      <c r="D18" t="s">
        <v>20</v>
      </c>
      <c r="E18" t="s">
        <v>20</v>
      </c>
      <c r="F18" t="s">
        <v>20</v>
      </c>
    </row>
    <row r="19" spans="1:12" x14ac:dyDescent="0.25">
      <c r="A19">
        <v>18</v>
      </c>
      <c r="B19" t="s">
        <v>17</v>
      </c>
      <c r="C19" t="s">
        <v>19</v>
      </c>
      <c r="D19" t="s">
        <v>20</v>
      </c>
      <c r="E19" t="s">
        <v>20</v>
      </c>
      <c r="F19" t="s">
        <v>20</v>
      </c>
    </row>
    <row r="22" spans="1:12" x14ac:dyDescent="0.25">
      <c r="A22" t="s">
        <v>0</v>
      </c>
      <c r="B22" t="s">
        <v>46</v>
      </c>
      <c r="C22" t="s">
        <v>45</v>
      </c>
      <c r="D22" t="s">
        <v>47</v>
      </c>
      <c r="E22" t="s">
        <v>48</v>
      </c>
      <c r="F22" t="s">
        <v>49</v>
      </c>
      <c r="G22" t="s">
        <v>50</v>
      </c>
      <c r="H22" t="s">
        <v>51</v>
      </c>
      <c r="I22" t="s">
        <v>52</v>
      </c>
      <c r="J22" t="s">
        <v>62</v>
      </c>
      <c r="K22" t="s">
        <v>63</v>
      </c>
      <c r="L22" t="s">
        <v>64</v>
      </c>
    </row>
    <row r="23" spans="1:12" x14ac:dyDescent="0.25">
      <c r="A23">
        <v>1</v>
      </c>
      <c r="B23" t="b">
        <f>IF(C2="Yes", TRUE, FALSE)</f>
        <v>1</v>
      </c>
      <c r="C23" t="b">
        <f>IF(C2="Yes", FALSE, TRUE)</f>
        <v>0</v>
      </c>
      <c r="D23" t="b">
        <f>IF(D2="Yes",TRUE,FALSE)</f>
        <v>0</v>
      </c>
      <c r="E23" t="b">
        <f>IF(D2="Yes",FALSE,TRUE)</f>
        <v>1</v>
      </c>
      <c r="F23" t="b">
        <f>IF(E2="Yes",TRUE,FALSE)</f>
        <v>0</v>
      </c>
      <c r="G23" t="b">
        <f>IF(E2="Yes",FALSE,TRUE)</f>
        <v>1</v>
      </c>
      <c r="H23" t="b">
        <f>IF(F2="Yes",TRUE,FALSE)</f>
        <v>0</v>
      </c>
      <c r="I23" t="b">
        <f>IF(F2="Yes",FALSE,TRUE)</f>
        <v>1</v>
      </c>
      <c r="J23" t="b">
        <f>IF(B2="Physician (MD/DO)",TRUE,FALSE)</f>
        <v>1</v>
      </c>
      <c r="K23" t="b">
        <f>IF(B2="PA",TRUE,FALSE)</f>
        <v>0</v>
      </c>
      <c r="L23" t="b">
        <f>IF(B2="Nurse Practionier",TRUE,FALSE)</f>
        <v>0</v>
      </c>
    </row>
    <row r="24" spans="1:12" x14ac:dyDescent="0.25">
      <c r="A24">
        <v>2</v>
      </c>
      <c r="B24" t="b">
        <f>IF(C3="Yes", TRUE, FALSE)</f>
        <v>1</v>
      </c>
      <c r="C24" t="b">
        <f>IF(C3="Yes", FALSE, TRUE)</f>
        <v>0</v>
      </c>
      <c r="D24" t="b">
        <f t="shared" ref="D24:D40" si="0">IF(D3="Yes",TRUE,FALSE)</f>
        <v>0</v>
      </c>
      <c r="E24" t="b">
        <f t="shared" ref="E24:E40" si="1">IF(D3="Yes",FALSE,TRUE)</f>
        <v>1</v>
      </c>
      <c r="F24" t="b">
        <f t="shared" ref="F24:F40" si="2">IF(E3="Yes",TRUE,FALSE)</f>
        <v>0</v>
      </c>
      <c r="G24" t="b">
        <f t="shared" ref="G24:G40" si="3">IF(E3="Yes",FALSE,TRUE)</f>
        <v>1</v>
      </c>
      <c r="H24" t="b">
        <f t="shared" ref="H24:H40" si="4">IF(F3="Yes",TRUE,FALSE)</f>
        <v>0</v>
      </c>
      <c r="I24" t="b">
        <f t="shared" ref="I24:I40" si="5">IF(F3="Yes",FALSE,TRUE)</f>
        <v>1</v>
      </c>
      <c r="J24" t="b">
        <f t="shared" ref="J24:J40" si="6">IF(B3="Physician (MD/DO)",TRUE,FALSE)</f>
        <v>1</v>
      </c>
      <c r="K24" t="b">
        <f t="shared" ref="K24:K40" si="7">IF(B3="PA",TRUE,FALSE)</f>
        <v>0</v>
      </c>
      <c r="L24" t="b">
        <f t="shared" ref="L24:L40" si="8">IF(B3="Nurse Practionier",TRUE,FALSE)</f>
        <v>0</v>
      </c>
    </row>
    <row r="25" spans="1:12" x14ac:dyDescent="0.25">
      <c r="A25">
        <v>3</v>
      </c>
      <c r="B25" t="b">
        <f>IF(C4="Yes", TRUE, FALSE)</f>
        <v>1</v>
      </c>
      <c r="C25" t="b">
        <f>IF(C4="Yes", FALSE, TRUE)</f>
        <v>0</v>
      </c>
      <c r="D25" t="b">
        <f t="shared" si="0"/>
        <v>0</v>
      </c>
      <c r="E25" t="b">
        <f t="shared" si="1"/>
        <v>1</v>
      </c>
      <c r="F25" t="b">
        <f t="shared" si="2"/>
        <v>0</v>
      </c>
      <c r="G25" t="b">
        <f t="shared" si="3"/>
        <v>1</v>
      </c>
      <c r="H25" t="b">
        <f t="shared" si="4"/>
        <v>0</v>
      </c>
      <c r="I25" t="b">
        <f t="shared" si="5"/>
        <v>1</v>
      </c>
      <c r="J25" t="b">
        <f t="shared" si="6"/>
        <v>1</v>
      </c>
      <c r="K25" t="b">
        <f t="shared" si="7"/>
        <v>0</v>
      </c>
      <c r="L25" t="b">
        <f t="shared" si="8"/>
        <v>0</v>
      </c>
    </row>
    <row r="26" spans="1:12" x14ac:dyDescent="0.25">
      <c r="A26">
        <v>4</v>
      </c>
      <c r="B26" t="b">
        <f>IF(C5="Yes", TRUE, FALSE)</f>
        <v>1</v>
      </c>
      <c r="C26" t="b">
        <f>IF(C5="Yes", FALSE, TRUE)</f>
        <v>0</v>
      </c>
      <c r="D26" t="b">
        <f t="shared" si="0"/>
        <v>0</v>
      </c>
      <c r="E26" t="b">
        <f t="shared" si="1"/>
        <v>1</v>
      </c>
      <c r="F26" t="b">
        <f t="shared" si="2"/>
        <v>0</v>
      </c>
      <c r="G26" t="b">
        <f t="shared" si="3"/>
        <v>1</v>
      </c>
      <c r="H26" t="b">
        <f t="shared" si="4"/>
        <v>0</v>
      </c>
      <c r="I26" t="b">
        <f t="shared" si="5"/>
        <v>1</v>
      </c>
      <c r="J26" t="b">
        <f t="shared" si="6"/>
        <v>1</v>
      </c>
      <c r="K26" t="b">
        <f t="shared" si="7"/>
        <v>0</v>
      </c>
      <c r="L26" t="b">
        <f t="shared" si="8"/>
        <v>0</v>
      </c>
    </row>
    <row r="27" spans="1:12" x14ac:dyDescent="0.25">
      <c r="A27">
        <v>5</v>
      </c>
      <c r="B27" t="b">
        <f>IF(C6="Yes", TRUE, FALSE)</f>
        <v>1</v>
      </c>
      <c r="C27" t="b">
        <f>IF(C6="Yes", FALSE, TRUE)</f>
        <v>0</v>
      </c>
      <c r="D27" t="b">
        <f t="shared" si="0"/>
        <v>0</v>
      </c>
      <c r="E27" t="b">
        <f t="shared" si="1"/>
        <v>1</v>
      </c>
      <c r="F27" t="b">
        <f t="shared" si="2"/>
        <v>1</v>
      </c>
      <c r="G27" t="b">
        <f t="shared" si="3"/>
        <v>0</v>
      </c>
      <c r="H27" t="b">
        <f t="shared" si="4"/>
        <v>0</v>
      </c>
      <c r="I27" t="b">
        <f t="shared" si="5"/>
        <v>1</v>
      </c>
      <c r="J27" t="b">
        <f t="shared" si="6"/>
        <v>1</v>
      </c>
      <c r="K27" t="b">
        <f t="shared" si="7"/>
        <v>0</v>
      </c>
      <c r="L27" t="b">
        <f t="shared" si="8"/>
        <v>0</v>
      </c>
    </row>
    <row r="28" spans="1:12" x14ac:dyDescent="0.25">
      <c r="A28">
        <v>6</v>
      </c>
      <c r="B28" t="b">
        <f>IF(C7="Yes", TRUE, FALSE)</f>
        <v>1</v>
      </c>
      <c r="C28" t="b">
        <f>IF(C7="Yes", FALSE, TRUE)</f>
        <v>0</v>
      </c>
      <c r="D28" t="b">
        <f t="shared" si="0"/>
        <v>1</v>
      </c>
      <c r="E28" t="b">
        <f t="shared" si="1"/>
        <v>0</v>
      </c>
      <c r="F28" t="b">
        <f t="shared" si="2"/>
        <v>0</v>
      </c>
      <c r="G28" t="b">
        <f t="shared" si="3"/>
        <v>1</v>
      </c>
      <c r="H28" t="b">
        <f t="shared" si="4"/>
        <v>0</v>
      </c>
      <c r="I28" t="b">
        <f t="shared" si="5"/>
        <v>1</v>
      </c>
      <c r="J28" t="b">
        <f t="shared" si="6"/>
        <v>0</v>
      </c>
      <c r="K28" t="b">
        <f t="shared" si="7"/>
        <v>1</v>
      </c>
      <c r="L28" t="b">
        <f t="shared" si="8"/>
        <v>0</v>
      </c>
    </row>
    <row r="29" spans="1:12" x14ac:dyDescent="0.25">
      <c r="A29">
        <v>7</v>
      </c>
      <c r="B29" t="b">
        <f>IF(C8="Yes", TRUE, FALSE)</f>
        <v>1</v>
      </c>
      <c r="C29" t="b">
        <f>IF(C8="Yes", FALSE, TRUE)</f>
        <v>0</v>
      </c>
      <c r="D29" t="b">
        <f t="shared" si="0"/>
        <v>0</v>
      </c>
      <c r="E29" t="b">
        <f t="shared" si="1"/>
        <v>1</v>
      </c>
      <c r="F29" t="b">
        <f t="shared" si="2"/>
        <v>0</v>
      </c>
      <c r="G29" t="b">
        <f t="shared" si="3"/>
        <v>1</v>
      </c>
      <c r="H29" t="b">
        <f t="shared" si="4"/>
        <v>0</v>
      </c>
      <c r="I29" t="b">
        <f t="shared" si="5"/>
        <v>1</v>
      </c>
      <c r="J29" t="b">
        <f t="shared" si="6"/>
        <v>0</v>
      </c>
      <c r="K29" t="b">
        <f t="shared" si="7"/>
        <v>1</v>
      </c>
      <c r="L29" t="b">
        <f t="shared" si="8"/>
        <v>0</v>
      </c>
    </row>
    <row r="30" spans="1:12" x14ac:dyDescent="0.25">
      <c r="A30">
        <v>8</v>
      </c>
      <c r="B30" t="b">
        <f>IF(C9="Yes", TRUE, FALSE)</f>
        <v>1</v>
      </c>
      <c r="C30" t="b">
        <f>IF(C9="Yes", FALSE, TRUE)</f>
        <v>0</v>
      </c>
      <c r="D30" t="b">
        <f t="shared" si="0"/>
        <v>0</v>
      </c>
      <c r="E30" t="b">
        <f t="shared" si="1"/>
        <v>1</v>
      </c>
      <c r="F30" t="b">
        <f t="shared" si="2"/>
        <v>1</v>
      </c>
      <c r="G30" t="b">
        <f t="shared" si="3"/>
        <v>0</v>
      </c>
      <c r="H30" t="b">
        <f t="shared" si="4"/>
        <v>0</v>
      </c>
      <c r="I30" t="b">
        <f t="shared" si="5"/>
        <v>1</v>
      </c>
      <c r="J30" t="b">
        <f t="shared" si="6"/>
        <v>0</v>
      </c>
      <c r="K30" t="b">
        <f t="shared" si="7"/>
        <v>0</v>
      </c>
      <c r="L30" t="b">
        <f t="shared" si="8"/>
        <v>1</v>
      </c>
    </row>
    <row r="31" spans="1:12" x14ac:dyDescent="0.25">
      <c r="A31">
        <v>9</v>
      </c>
      <c r="B31" t="b">
        <f>IF(C10="Yes", TRUE, FALSE)</f>
        <v>1</v>
      </c>
      <c r="C31" t="b">
        <f>IF(C10="Yes", FALSE, TRUE)</f>
        <v>0</v>
      </c>
      <c r="D31" t="b">
        <f t="shared" si="0"/>
        <v>0</v>
      </c>
      <c r="E31" t="b">
        <f t="shared" si="1"/>
        <v>1</v>
      </c>
      <c r="F31" t="b">
        <f t="shared" si="2"/>
        <v>0</v>
      </c>
      <c r="G31" t="b">
        <f t="shared" si="3"/>
        <v>1</v>
      </c>
      <c r="H31" t="b">
        <f t="shared" si="4"/>
        <v>0</v>
      </c>
      <c r="I31" t="b">
        <f t="shared" si="5"/>
        <v>1</v>
      </c>
      <c r="J31" t="b">
        <f t="shared" si="6"/>
        <v>1</v>
      </c>
      <c r="K31" t="b">
        <f t="shared" si="7"/>
        <v>0</v>
      </c>
      <c r="L31" t="b">
        <f t="shared" si="8"/>
        <v>0</v>
      </c>
    </row>
    <row r="32" spans="1:12" x14ac:dyDescent="0.25">
      <c r="A32">
        <v>10</v>
      </c>
      <c r="B32" t="b">
        <f>IF(C11="Yes", TRUE, FALSE)</f>
        <v>0</v>
      </c>
      <c r="C32" t="b">
        <f>IF(C11="Yes", FALSE, TRUE)</f>
        <v>1</v>
      </c>
      <c r="D32" t="b">
        <f t="shared" si="0"/>
        <v>0</v>
      </c>
      <c r="E32" t="b">
        <f t="shared" si="1"/>
        <v>1</v>
      </c>
      <c r="F32" t="b">
        <f t="shared" si="2"/>
        <v>0</v>
      </c>
      <c r="G32" t="b">
        <f t="shared" si="3"/>
        <v>1</v>
      </c>
      <c r="H32" t="b">
        <f t="shared" si="4"/>
        <v>0</v>
      </c>
      <c r="I32" t="b">
        <f t="shared" si="5"/>
        <v>1</v>
      </c>
      <c r="J32" t="b">
        <f t="shared" si="6"/>
        <v>1</v>
      </c>
      <c r="K32" t="b">
        <f t="shared" si="7"/>
        <v>0</v>
      </c>
      <c r="L32" t="b">
        <f t="shared" si="8"/>
        <v>0</v>
      </c>
    </row>
    <row r="33" spans="1:12" x14ac:dyDescent="0.25">
      <c r="A33">
        <v>11</v>
      </c>
      <c r="B33" t="b">
        <f>IF(C12="Yes", TRUE, FALSE)</f>
        <v>1</v>
      </c>
      <c r="C33" t="b">
        <f>IF(C12="Yes", FALSE, TRUE)</f>
        <v>0</v>
      </c>
      <c r="D33" t="b">
        <f t="shared" si="0"/>
        <v>0</v>
      </c>
      <c r="E33" t="b">
        <f t="shared" si="1"/>
        <v>1</v>
      </c>
      <c r="F33" t="b">
        <f t="shared" si="2"/>
        <v>0</v>
      </c>
      <c r="G33" t="b">
        <f t="shared" si="3"/>
        <v>1</v>
      </c>
      <c r="H33" t="b">
        <f t="shared" si="4"/>
        <v>0</v>
      </c>
      <c r="I33" t="b">
        <f t="shared" si="5"/>
        <v>1</v>
      </c>
      <c r="J33" t="b">
        <f t="shared" si="6"/>
        <v>1</v>
      </c>
      <c r="K33" t="b">
        <f t="shared" si="7"/>
        <v>0</v>
      </c>
      <c r="L33" t="b">
        <f t="shared" si="8"/>
        <v>0</v>
      </c>
    </row>
    <row r="34" spans="1:12" x14ac:dyDescent="0.25">
      <c r="A34">
        <v>12</v>
      </c>
      <c r="B34" t="b">
        <f>IF(C13="Yes", TRUE, FALSE)</f>
        <v>1</v>
      </c>
      <c r="C34" t="b">
        <f>IF(C13="Yes", FALSE, TRUE)</f>
        <v>0</v>
      </c>
      <c r="D34" t="b">
        <f t="shared" si="0"/>
        <v>0</v>
      </c>
      <c r="E34" t="b">
        <f t="shared" si="1"/>
        <v>1</v>
      </c>
      <c r="F34" t="b">
        <f t="shared" si="2"/>
        <v>0</v>
      </c>
      <c r="G34" t="b">
        <f t="shared" si="3"/>
        <v>1</v>
      </c>
      <c r="H34" t="b">
        <f t="shared" si="4"/>
        <v>1</v>
      </c>
      <c r="I34" t="b">
        <f t="shared" si="5"/>
        <v>0</v>
      </c>
      <c r="J34" t="b">
        <f t="shared" si="6"/>
        <v>0</v>
      </c>
      <c r="K34" t="b">
        <f t="shared" si="7"/>
        <v>0</v>
      </c>
      <c r="L34" t="b">
        <f t="shared" si="8"/>
        <v>1</v>
      </c>
    </row>
    <row r="35" spans="1:12" x14ac:dyDescent="0.25">
      <c r="A35">
        <v>13</v>
      </c>
      <c r="B35" t="b">
        <f>IF(C14="Yes", TRUE, FALSE)</f>
        <v>1</v>
      </c>
      <c r="C35" t="b">
        <f>IF(C14="Yes", FALSE, TRUE)</f>
        <v>0</v>
      </c>
      <c r="D35" t="b">
        <f t="shared" si="0"/>
        <v>1</v>
      </c>
      <c r="E35" t="b">
        <f t="shared" si="1"/>
        <v>0</v>
      </c>
      <c r="F35" t="b">
        <f t="shared" si="2"/>
        <v>0</v>
      </c>
      <c r="G35" t="b">
        <f t="shared" si="3"/>
        <v>1</v>
      </c>
      <c r="H35" t="b">
        <f t="shared" si="4"/>
        <v>0</v>
      </c>
      <c r="I35" t="b">
        <f t="shared" si="5"/>
        <v>1</v>
      </c>
      <c r="J35" t="b">
        <f t="shared" si="6"/>
        <v>1</v>
      </c>
      <c r="K35" t="b">
        <f t="shared" si="7"/>
        <v>0</v>
      </c>
      <c r="L35" t="b">
        <f t="shared" si="8"/>
        <v>0</v>
      </c>
    </row>
    <row r="36" spans="1:12" x14ac:dyDescent="0.25">
      <c r="A36">
        <v>14</v>
      </c>
      <c r="B36" t="b">
        <f>IF(C15="Yes", TRUE, FALSE)</f>
        <v>1</v>
      </c>
      <c r="C36" t="b">
        <f>IF(C15="Yes", FALSE, TRUE)</f>
        <v>0</v>
      </c>
      <c r="D36" t="b">
        <f t="shared" si="0"/>
        <v>0</v>
      </c>
      <c r="E36" t="b">
        <f t="shared" si="1"/>
        <v>1</v>
      </c>
      <c r="F36" t="b">
        <f t="shared" si="2"/>
        <v>1</v>
      </c>
      <c r="G36" t="b">
        <f t="shared" si="3"/>
        <v>0</v>
      </c>
      <c r="H36" t="b">
        <f t="shared" si="4"/>
        <v>0</v>
      </c>
      <c r="I36" t="b">
        <f t="shared" si="5"/>
        <v>1</v>
      </c>
      <c r="J36" t="b">
        <f t="shared" si="6"/>
        <v>1</v>
      </c>
      <c r="K36" t="b">
        <f t="shared" si="7"/>
        <v>0</v>
      </c>
      <c r="L36" t="b">
        <f t="shared" si="8"/>
        <v>0</v>
      </c>
    </row>
    <row r="37" spans="1:12" x14ac:dyDescent="0.25">
      <c r="A37">
        <v>15</v>
      </c>
      <c r="B37" t="b">
        <f>IF(C16="Yes", TRUE, FALSE)</f>
        <v>1</v>
      </c>
      <c r="C37" t="b">
        <f>IF(C16="Yes", FALSE, TRUE)</f>
        <v>0</v>
      </c>
      <c r="D37" t="b">
        <f t="shared" si="0"/>
        <v>0</v>
      </c>
      <c r="E37" t="b">
        <f t="shared" si="1"/>
        <v>1</v>
      </c>
      <c r="F37" t="b">
        <f t="shared" si="2"/>
        <v>0</v>
      </c>
      <c r="G37" t="b">
        <f t="shared" si="3"/>
        <v>1</v>
      </c>
      <c r="H37" t="b">
        <f t="shared" si="4"/>
        <v>0</v>
      </c>
      <c r="I37" t="b">
        <f t="shared" si="5"/>
        <v>1</v>
      </c>
      <c r="J37" t="b">
        <f t="shared" si="6"/>
        <v>1</v>
      </c>
      <c r="K37" t="b">
        <f t="shared" si="7"/>
        <v>0</v>
      </c>
      <c r="L37" t="b">
        <f t="shared" si="8"/>
        <v>0</v>
      </c>
    </row>
    <row r="38" spans="1:12" x14ac:dyDescent="0.25">
      <c r="A38">
        <v>16</v>
      </c>
      <c r="B38" t="b">
        <f>IF(C17="Yes", TRUE, FALSE)</f>
        <v>1</v>
      </c>
      <c r="C38" t="b">
        <f>IF(C17="Yes", FALSE, TRUE)</f>
        <v>0</v>
      </c>
      <c r="D38" t="b">
        <f t="shared" si="0"/>
        <v>1</v>
      </c>
      <c r="E38" t="b">
        <f t="shared" si="1"/>
        <v>0</v>
      </c>
      <c r="F38" t="b">
        <f t="shared" si="2"/>
        <v>1</v>
      </c>
      <c r="G38" t="b">
        <f t="shared" si="3"/>
        <v>0</v>
      </c>
      <c r="H38" t="b">
        <f t="shared" si="4"/>
        <v>1</v>
      </c>
      <c r="I38" t="b">
        <f t="shared" si="5"/>
        <v>0</v>
      </c>
      <c r="J38" t="b">
        <f t="shared" si="6"/>
        <v>1</v>
      </c>
      <c r="K38" t="b">
        <f t="shared" si="7"/>
        <v>0</v>
      </c>
      <c r="L38" t="b">
        <f t="shared" si="8"/>
        <v>0</v>
      </c>
    </row>
    <row r="39" spans="1:12" x14ac:dyDescent="0.25">
      <c r="A39">
        <v>17</v>
      </c>
      <c r="B39" t="b">
        <f>IF(C18="Yes", TRUE, FALSE)</f>
        <v>1</v>
      </c>
      <c r="C39" t="b">
        <f>IF(C18="Yes", FALSE, TRUE)</f>
        <v>0</v>
      </c>
      <c r="D39" t="b">
        <f t="shared" si="0"/>
        <v>0</v>
      </c>
      <c r="E39" t="b">
        <f t="shared" si="1"/>
        <v>1</v>
      </c>
      <c r="F39" t="b">
        <f t="shared" si="2"/>
        <v>0</v>
      </c>
      <c r="G39" t="b">
        <f t="shared" si="3"/>
        <v>1</v>
      </c>
      <c r="H39" t="b">
        <f t="shared" si="4"/>
        <v>0</v>
      </c>
      <c r="I39" t="b">
        <f t="shared" si="5"/>
        <v>1</v>
      </c>
      <c r="J39" t="b">
        <f t="shared" si="6"/>
        <v>0</v>
      </c>
      <c r="K39" t="b">
        <f t="shared" si="7"/>
        <v>1</v>
      </c>
      <c r="L39" t="b">
        <f t="shared" si="8"/>
        <v>0</v>
      </c>
    </row>
    <row r="40" spans="1:12" x14ac:dyDescent="0.25">
      <c r="A40">
        <v>18</v>
      </c>
      <c r="B40" t="b">
        <f>IF(C19="Yes", TRUE, FALSE)</f>
        <v>1</v>
      </c>
      <c r="C40" t="b">
        <f>IF(C19="Yes", FALSE, TRUE)</f>
        <v>0</v>
      </c>
      <c r="D40" t="b">
        <f t="shared" si="0"/>
        <v>0</v>
      </c>
      <c r="E40" t="b">
        <f t="shared" si="1"/>
        <v>1</v>
      </c>
      <c r="F40" t="b">
        <f t="shared" si="2"/>
        <v>0</v>
      </c>
      <c r="G40" t="b">
        <f t="shared" si="3"/>
        <v>1</v>
      </c>
      <c r="H40" t="b">
        <f t="shared" si="4"/>
        <v>0</v>
      </c>
      <c r="I40" t="b">
        <f t="shared" si="5"/>
        <v>1</v>
      </c>
      <c r="J40" t="b">
        <f t="shared" si="6"/>
        <v>1</v>
      </c>
      <c r="K40" t="b">
        <f t="shared" si="7"/>
        <v>0</v>
      </c>
      <c r="L40" t="b">
        <f t="shared" si="8"/>
        <v>0</v>
      </c>
    </row>
  </sheetData>
  <mergeCells count="3">
    <mergeCell ref="H1:I1"/>
    <mergeCell ref="H7:I7"/>
    <mergeCell ref="H13:I1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DTCTesting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Ortega Sorto, Jose E</dc:creator>
  <cp:lastModifiedBy>Ortega Sorto, Jose E</cp:lastModifiedBy>
  <dcterms:created xsi:type="dcterms:W3CDTF">2021-09-09T18:51:01Z</dcterms:created>
  <dcterms:modified xsi:type="dcterms:W3CDTF">2021-09-09T18:51:01Z</dcterms:modified>
</cp:coreProperties>
</file>